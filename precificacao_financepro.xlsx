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 por Cliente" sheetId="1" state="visible" r:id="rId1"/>
    <sheet name="Precific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-"/>
    <numFmt numFmtId="165" formatCode="$#,##0.0000;($#,##0.0000);-"/>
    <numFmt numFmtId="166" formatCode="&quot;R$&quot;#,##0.00"/>
    <numFmt numFmtId="167" formatCode="&quot;R$&quot;#,##0.00;(&quot;R$&quot;#,##0.00);-"/>
    <numFmt numFmtId="168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08080"/>
      <sz val="9"/>
    </font>
    <font>
      <name val="Arial"/>
      <b val="1"/>
      <color rgb="001F4E78"/>
      <sz val="11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F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0" borderId="1" pivotButton="0" quotePrefix="0" xfId="0"/>
    <xf numFmtId="164" fontId="6" fillId="4" borderId="1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3" fontId="6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6" fillId="4" borderId="1" applyAlignment="1" pivotButton="0" quotePrefix="0" xfId="0">
      <alignment horizontal="right"/>
    </xf>
    <xf numFmtId="167" fontId="7" fillId="5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8" fontId="7" fillId="5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FinancePro — Custo por Cliente (modelo: 1 deploy por cliente)</t>
        </is>
      </c>
    </row>
    <row r="3">
      <c r="A3" s="2" t="inlineStr">
        <is>
          <t>Legenda: células amarelas = valores editáveis (inputs). Células brancas = calculadas automaticamente.</t>
        </is>
      </c>
    </row>
    <row r="5">
      <c r="A5" s="3" t="inlineStr">
        <is>
          <t>Infraestrutura fixa mensal (USD)</t>
        </is>
      </c>
    </row>
    <row r="6">
      <c r="A6" s="4" t="inlineStr">
        <is>
          <t>Item</t>
        </is>
      </c>
      <c r="B6" s="4" t="inlineStr">
        <is>
          <t>Valor (USD)</t>
        </is>
      </c>
      <c r="D6" s="5" t="inlineStr">
        <is>
          <t>Supabase sobe pra ~US$25/mês (plano Pro) conforme o volume de dados/uso crescer — ajuste esse valor quando acontecer.</t>
        </is>
      </c>
    </row>
    <row r="7">
      <c r="A7" s="6" t="inlineStr">
        <is>
          <t>Render — Backend (Web Service, plano Starter)</t>
        </is>
      </c>
      <c r="B7" s="7" t="n">
        <v>7</v>
      </c>
    </row>
    <row r="8">
      <c r="A8" s="6" t="inlineStr">
        <is>
          <t>Render — Robô WhatsApp (Background Worker)</t>
        </is>
      </c>
      <c r="B8" s="7" t="n">
        <v>7</v>
      </c>
    </row>
    <row r="9">
      <c r="A9" s="6" t="inlineStr">
        <is>
          <t>Supabase (banco de dados — free tier no início)</t>
        </is>
      </c>
      <c r="B9" s="7" t="n">
        <v>0</v>
      </c>
    </row>
    <row r="10">
      <c r="A10" s="6" t="inlineStr">
        <is>
          <t>Vercel (frontend — free tier)</t>
        </is>
      </c>
      <c r="B10" s="7" t="n">
        <v>0</v>
      </c>
    </row>
    <row r="11">
      <c r="A11" s="8" t="inlineStr">
        <is>
          <t>Subtotal Infraestrutura (USD)</t>
        </is>
      </c>
      <c r="B11" s="9">
        <f>SUM(B7:B10)</f>
        <v/>
      </c>
    </row>
    <row r="14">
      <c r="A14" s="3" t="inlineStr">
        <is>
          <t>Custo de IA (Claude) — variável por volume de uso</t>
        </is>
      </c>
    </row>
    <row r="15">
      <c r="A15" s="4" t="inlineStr">
        <is>
          <t>Item</t>
        </is>
      </c>
      <c r="B15" s="4" t="inlineStr">
        <is>
          <t>Valor</t>
        </is>
      </c>
      <c r="D15" s="5" t="inlineStr">
        <is>
          <t>Volumes de referência (173 e 128) vieram do uso real de vocês nos últimos 30 dias. Ajuste pra estimar outro cliente com volume diferente.</t>
        </is>
      </c>
    </row>
    <row r="16">
      <c r="A16" s="6" t="inlineStr">
        <is>
          <t>Volume mensal — despesas lidas via WhatsApp (unid.)</t>
        </is>
      </c>
      <c r="B16" s="10" t="n">
        <v>173</v>
      </c>
    </row>
    <row r="17">
      <c r="A17" s="6" t="inlineStr">
        <is>
          <t>Custo estimado por leitura via WhatsApp (USD)</t>
        </is>
      </c>
      <c r="B17" s="11" t="n">
        <v>0.002</v>
      </c>
    </row>
    <row r="18">
      <c r="A18" s="6" t="inlineStr">
        <is>
          <t>Subtotal WhatsApp (USD)</t>
        </is>
      </c>
      <c r="B18" s="12">
        <f>B16*B17</f>
        <v/>
      </c>
    </row>
    <row r="19">
      <c r="A19" s="6" t="inlineStr">
        <is>
          <t>Volume mensal — fechamentos de caixa lidos na Conciliação (unid.)</t>
        </is>
      </c>
      <c r="B19" s="10" t="n">
        <v>128</v>
      </c>
    </row>
    <row r="20">
      <c r="A20" s="6" t="inlineStr">
        <is>
          <t>Custo estimado por leitura de fechamento (USD)</t>
        </is>
      </c>
      <c r="B20" s="11" t="n">
        <v>0.01</v>
      </c>
    </row>
    <row r="21">
      <c r="A21" s="6" t="inlineStr">
        <is>
          <t>Subtotal Conciliação (USD)</t>
        </is>
      </c>
      <c r="B21" s="12">
        <f>B19*B20</f>
        <v/>
      </c>
    </row>
    <row r="22">
      <c r="A22" s="8" t="inlineStr">
        <is>
          <t>Subtotal IA (USD)</t>
        </is>
      </c>
      <c r="B22" s="9">
        <f>B18+B21</f>
        <v/>
      </c>
    </row>
    <row r="25">
      <c r="A25" s="3" t="inlineStr">
        <is>
          <t>Câmbio</t>
        </is>
      </c>
    </row>
    <row r="26">
      <c r="A26" s="6" t="inlineStr">
        <is>
          <t>Cotação Dólar (R$)</t>
        </is>
      </c>
      <c r="B26" s="13" t="n">
        <v>5.5</v>
      </c>
    </row>
    <row r="28">
      <c r="A28" s="3" t="inlineStr">
        <is>
          <t>Custo total mensal</t>
        </is>
      </c>
    </row>
    <row r="29">
      <c r="A29" s="4" t="inlineStr">
        <is>
          <t>Item</t>
        </is>
      </c>
      <c r="B29" s="4" t="inlineStr">
        <is>
          <t>Valor (R$)</t>
        </is>
      </c>
    </row>
    <row r="30">
      <c r="A30" s="6" t="inlineStr">
        <is>
          <t>Infraestrutura (convertida pra R$)</t>
        </is>
      </c>
      <c r="B30" s="14">
        <f>B11*B26</f>
        <v/>
      </c>
    </row>
    <row r="31">
      <c r="A31" s="6" t="inlineStr">
        <is>
          <t>IA / Claude (convertida pra R$)</t>
        </is>
      </c>
      <c r="B31" s="14">
        <f>B22*B26</f>
        <v/>
      </c>
    </row>
    <row r="32">
      <c r="A32" s="8" t="inlineStr">
        <is>
          <t>Subtotal custo (R$)</t>
        </is>
      </c>
      <c r="B32" s="15">
        <f>B30+B31</f>
        <v/>
      </c>
    </row>
    <row r="33">
      <c r="A33" s="6" t="inlineStr">
        <is>
          <t>Margem de segurança (%, pra imprevistos)</t>
        </is>
      </c>
      <c r="B33" s="16" t="n">
        <v>0.2</v>
      </c>
    </row>
    <row r="34">
      <c r="A34" s="8" t="inlineStr">
        <is>
          <t>Custo total COM margem de segurança (R$)</t>
        </is>
      </c>
      <c r="B34" s="17">
        <f>B32*(1+B33)</f>
        <v/>
      </c>
    </row>
    <row r="37">
      <c r="A37" s="5" t="inlineStr">
        <is>
          <t>Nota: os valores de custo de IA são ESTIMATIVAS baseadas em tokens típicos por leitura de foto/PDF — não são o valor exato cobrado pela Anthropic. Pra conferir o gasto real em dólares, veja o console.anthropic.com (aba de uso/faturamento) e atualize as células B17 e B20 com o valor real observado.</t>
        </is>
      </c>
    </row>
    <row r="38"/>
    <row r="39"/>
    <row r="40"/>
  </sheetData>
  <mergeCells count="4">
    <mergeCell ref="A1:C1"/>
    <mergeCell ref="D15:F17"/>
    <mergeCell ref="A37:F40"/>
    <mergeCell ref="D6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 ht="26" customHeight="1">
      <c r="A1" s="1" t="inlineStr">
        <is>
          <t>FinancePro — Precificação</t>
        </is>
      </c>
    </row>
    <row r="3">
      <c r="A3" s="2" t="inlineStr">
        <is>
          <t>Legenda: células amarelas = valores editáveis (inputs). Células brancas = calculadas automaticamente.</t>
        </is>
      </c>
    </row>
    <row r="5">
      <c r="A5" s="3" t="inlineStr">
        <is>
          <t>Simulação principal</t>
        </is>
      </c>
    </row>
    <row r="6">
      <c r="A6" s="4" t="inlineStr">
        <is>
          <t>Item</t>
        </is>
      </c>
      <c r="B6" s="4" t="inlineStr">
        <is>
          <t>Valor</t>
        </is>
      </c>
    </row>
    <row r="7">
      <c r="A7" s="6" t="inlineStr">
        <is>
          <t>Número de lojas do cliente</t>
        </is>
      </c>
      <c r="B7" s="10" t="n">
        <v>4</v>
      </c>
    </row>
    <row r="8">
      <c r="A8" s="6" t="inlineStr">
        <is>
          <t>Preço sugerido por loja/mês (R$)</t>
        </is>
      </c>
      <c r="B8" s="18" t="n">
        <v>300</v>
      </c>
    </row>
    <row r="9">
      <c r="A9" s="6" t="inlineStr">
        <is>
          <t>Receita mensal total (R$)</t>
        </is>
      </c>
      <c r="B9" s="14">
        <f>B7*B8</f>
        <v/>
      </c>
    </row>
    <row r="10">
      <c r="A10" s="6" t="inlineStr">
        <is>
          <t>Custo mensal total, com margem de segurança (R$)</t>
        </is>
      </c>
      <c r="B10" s="14">
        <f>'Custo por Cliente'!B34</f>
        <v/>
      </c>
    </row>
    <row r="11">
      <c r="A11" s="8" t="inlineStr">
        <is>
          <t>Margem bruta (R$)</t>
        </is>
      </c>
      <c r="B11" s="15">
        <f>B9-B10</f>
        <v/>
      </c>
    </row>
    <row r="12">
      <c r="A12" s="8" t="inlineStr">
        <is>
          <t>Margem bruta (%)</t>
        </is>
      </c>
      <c r="B12" s="19">
        <f>IFERROR(B11/B9,0)</f>
        <v/>
      </c>
    </row>
    <row r="15">
      <c r="A15" s="3" t="inlineStr">
        <is>
          <t>Simulação de cenários de preço</t>
        </is>
      </c>
    </row>
    <row r="16">
      <c r="A16" s="4" t="inlineStr">
        <is>
          <t>Preço/loja (R$)</t>
        </is>
      </c>
      <c r="B16" s="4" t="inlineStr">
        <is>
          <t>Receita (R$)</t>
        </is>
      </c>
      <c r="C16" s="4" t="inlineStr">
        <is>
          <t>Custo (R$)</t>
        </is>
      </c>
      <c r="D16" s="4" t="inlineStr">
        <is>
          <t>Margem (R$)</t>
        </is>
      </c>
      <c r="E16" s="4" t="inlineStr">
        <is>
          <t>Margem (%)</t>
        </is>
      </c>
    </row>
    <row r="17">
      <c r="A17" s="18" t="n">
        <v>200</v>
      </c>
      <c r="B17" s="14">
        <f>A17*$B$7</f>
        <v/>
      </c>
      <c r="C17" s="14">
        <f>'Custo por Cliente'!$B$34</f>
        <v/>
      </c>
      <c r="D17" s="14">
        <f>B17-C17</f>
        <v/>
      </c>
      <c r="E17" s="20">
        <f>IFERROR(D17/B17,0)</f>
        <v/>
      </c>
    </row>
    <row r="18">
      <c r="A18" s="18" t="n">
        <v>300</v>
      </c>
      <c r="B18" s="14">
        <f>A18*$B$7</f>
        <v/>
      </c>
      <c r="C18" s="14">
        <f>'Custo por Cliente'!$B$34</f>
        <v/>
      </c>
      <c r="D18" s="14">
        <f>B18-C18</f>
        <v/>
      </c>
      <c r="E18" s="20">
        <f>IFERROR(D18/B18,0)</f>
        <v/>
      </c>
    </row>
    <row r="19">
      <c r="A19" s="18" t="n">
        <v>400</v>
      </c>
      <c r="B19" s="14">
        <f>A19*$B$7</f>
        <v/>
      </c>
      <c r="C19" s="14">
        <f>'Custo por Cliente'!$B$34</f>
        <v/>
      </c>
      <c r="D19" s="14">
        <f>B19-C19</f>
        <v/>
      </c>
      <c r="E19" s="20">
        <f>IFERROR(D19/B19,0)</f>
        <v/>
      </c>
    </row>
    <row r="21">
      <c r="A21" s="5" t="inlineStr">
        <is>
          <t>A tabela de cenários usa o mesmo número de lojas (B7) e o mesmo custo total (aba "Custo por Cliente") pros três preços — só o preço por loja muda, pra comparar rápido o efeito na margem.</t>
        </is>
      </c>
    </row>
    <row r="22"/>
    <row r="23"/>
  </sheetData>
  <mergeCells count="2">
    <mergeCell ref="A1:C1"/>
    <mergeCell ref="A21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2026-08-22T16:22:15Z</dcterms:created>
  <dcterms:modified xsi:type="dcterms:W3CDTF">2026-08-22T16:22:15Z</dcterms:modified>
</cp:coreProperties>
</file>